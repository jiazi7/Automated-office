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张倡铭\Desktop\pig\"/>
    </mc:Choice>
  </mc:AlternateContent>
  <xr:revisionPtr revIDLastSave="0" documentId="13_ncr:1_{2F3159F8-2523-4419-873C-67422782DB96}" xr6:coauthVersionLast="45" xr6:coauthVersionMax="45" xr10:uidLastSave="{00000000-0000-0000-0000-000000000000}"/>
  <bookViews>
    <workbookView xWindow="0" yWindow="0" windowWidth="13460" windowHeight="13040" tabRatio="500" xr2:uid="{00000000-000D-0000-FFFF-FFFF00000000}"/>
  </bookViews>
  <sheets>
    <sheet name="Sheet1" sheetId="1" r:id="rId1"/>
    <sheet name="_xlwings.conf" sheetId="2" r:id="rId2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25" i="1" l="1"/>
  <c r="N25" i="1"/>
  <c r="M25" i="1"/>
  <c r="L25" i="1"/>
  <c r="O24" i="1"/>
  <c r="N24" i="1"/>
  <c r="M24" i="1"/>
  <c r="L24" i="1"/>
  <c r="O23" i="1"/>
  <c r="N23" i="1"/>
  <c r="M23" i="1"/>
  <c r="L23" i="1"/>
  <c r="O22" i="1"/>
  <c r="N22" i="1"/>
  <c r="M22" i="1"/>
  <c r="L22" i="1"/>
  <c r="O21" i="1"/>
  <c r="N21" i="1"/>
  <c r="M21" i="1"/>
  <c r="L21" i="1"/>
  <c r="O20" i="1"/>
  <c r="N20" i="1"/>
  <c r="M20" i="1"/>
  <c r="L20" i="1"/>
  <c r="O19" i="1"/>
  <c r="N19" i="1"/>
  <c r="M19" i="1"/>
  <c r="L19" i="1"/>
  <c r="O18" i="1"/>
  <c r="N18" i="1"/>
  <c r="M18" i="1"/>
  <c r="L18" i="1"/>
  <c r="O17" i="1"/>
  <c r="N17" i="1"/>
  <c r="M17" i="1"/>
  <c r="L17" i="1"/>
  <c r="O16" i="1"/>
  <c r="N16" i="1"/>
  <c r="M16" i="1"/>
  <c r="L16" i="1"/>
  <c r="O15" i="1"/>
  <c r="N15" i="1"/>
  <c r="M15" i="1"/>
  <c r="L15" i="1"/>
  <c r="O14" i="1"/>
  <c r="N14" i="1"/>
  <c r="M14" i="1"/>
  <c r="L14" i="1"/>
  <c r="O13" i="1"/>
  <c r="N13" i="1"/>
  <c r="M13" i="1"/>
  <c r="L13" i="1"/>
  <c r="O12" i="1"/>
  <c r="N12" i="1"/>
  <c r="M12" i="1"/>
  <c r="L12" i="1"/>
  <c r="O11" i="1"/>
  <c r="N11" i="1"/>
  <c r="M11" i="1"/>
  <c r="L11" i="1"/>
  <c r="Q10" i="1"/>
  <c r="P10" i="1"/>
  <c r="K10" i="1"/>
  <c r="O10" i="1"/>
  <c r="N10" i="1"/>
  <c r="G10" i="1"/>
  <c r="M10" i="1"/>
  <c r="J10" i="1"/>
  <c r="L10" i="1"/>
  <c r="I10" i="1"/>
  <c r="H10" i="1"/>
  <c r="O8" i="1"/>
  <c r="N8" i="1"/>
  <c r="M8" i="1"/>
  <c r="L8" i="1"/>
</calcChain>
</file>

<file path=xl/sharedStrings.xml><?xml version="1.0" encoding="utf-8"?>
<sst xmlns="http://schemas.openxmlformats.org/spreadsheetml/2006/main" count="83" uniqueCount="54">
  <si>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</si>
  <si>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</si>
  <si>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</si>
  <si>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</si>
  <si>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</si>
  <si>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</si>
  <si>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</si>
  <si>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</si>
  <si>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</si>
  <si>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</si>
  <si>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</si>
  <si>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</si>
  <si>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</si>
  <si>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</si>
  <si>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数据源</t>
  </si>
  <si>
    <t>地点</t>
  </si>
  <si>
    <r>
      <rPr>
        <b/>
        <sz val="8"/>
        <color indexed="8"/>
        <rFont val="华文细黑"/>
        <family val="3"/>
        <charset val="134"/>
      </rPr>
      <t>单位</t>
    </r>
  </si>
  <si>
    <t>21周</t>
    <phoneticPr fontId="5" type="noConversion"/>
  </si>
  <si>
    <t>22周</t>
    <phoneticPr fontId="5" type="noConversion"/>
  </si>
  <si>
    <t>23周</t>
    <phoneticPr fontId="5" type="noConversion"/>
  </si>
  <si>
    <t>24周</t>
    <phoneticPr fontId="5" type="noConversion"/>
  </si>
  <si>
    <t>近1周涨跌</t>
  </si>
  <si>
    <t>近5周涨跌</t>
  </si>
  <si>
    <t>本月涨跌幅</t>
  </si>
  <si>
    <t>本年涨跌幅</t>
  </si>
  <si>
    <t>本月值</t>
    <phoneticPr fontId="5" type="noConversion"/>
  </si>
  <si>
    <t>本年值</t>
    <phoneticPr fontId="5" type="noConversion"/>
  </si>
  <si>
    <t>二元能繁母猪</t>
  </si>
  <si>
    <t>中国政府网</t>
  </si>
  <si>
    <t>全国</t>
  </si>
  <si>
    <t>元/公斤</t>
  </si>
  <si>
    <r>
      <rPr>
        <b/>
        <sz val="10"/>
        <color indexed="8"/>
        <rFont val="华文细黑"/>
        <family val="3"/>
        <charset val="134"/>
      </rPr>
      <t>现货价格</t>
    </r>
  </si>
  <si>
    <t>单位</t>
  </si>
  <si>
    <t>近1日涨跌</t>
  </si>
  <si>
    <t>近5日涨跌</t>
  </si>
  <si>
    <r>
      <rPr>
        <b/>
        <sz val="8"/>
        <color indexed="8"/>
        <rFont val="华文细黑"/>
        <family val="3"/>
        <charset val="134"/>
      </rPr>
      <t>猪粮比</t>
    </r>
  </si>
  <si>
    <t>Wind</t>
  </si>
  <si>
    <r>
      <rPr>
        <b/>
        <sz val="8"/>
        <color indexed="8"/>
        <rFont val="华文细黑"/>
        <family val="3"/>
        <charset val="134"/>
      </rPr>
      <t>仔猪（15～20kg）</t>
    </r>
  </si>
  <si>
    <r>
      <rPr>
        <b/>
        <sz val="8"/>
        <color indexed="8"/>
        <rFont val="华文细黑"/>
        <family val="3"/>
        <charset val="134"/>
      </rPr>
      <t>辽宁</t>
    </r>
  </si>
  <si>
    <r>
      <rPr>
        <b/>
        <sz val="8"/>
        <color indexed="8"/>
        <rFont val="华文细黑"/>
        <family val="3"/>
        <charset val="134"/>
      </rPr>
      <t>元/公斤</t>
    </r>
  </si>
  <si>
    <r>
      <rPr>
        <b/>
        <sz val="8"/>
        <color indexed="8"/>
        <rFont val="华文细黑"/>
        <family val="3"/>
        <charset val="134"/>
      </rPr>
      <t>山东</t>
    </r>
  </si>
  <si>
    <r>
      <rPr>
        <b/>
        <sz val="8"/>
        <color indexed="8"/>
        <rFont val="华文细黑"/>
        <family val="3"/>
        <charset val="134"/>
      </rPr>
      <t>河南</t>
    </r>
  </si>
  <si>
    <r>
      <rPr>
        <b/>
        <sz val="8"/>
        <color indexed="8"/>
        <rFont val="华文细黑"/>
        <family val="3"/>
        <charset val="134"/>
      </rPr>
      <t>河北</t>
    </r>
  </si>
  <si>
    <r>
      <rPr>
        <b/>
        <sz val="8"/>
        <color indexed="8"/>
        <rFont val="华文细黑"/>
        <family val="3"/>
        <charset val="134"/>
      </rPr>
      <t>四川</t>
    </r>
  </si>
  <si>
    <r>
      <rPr>
        <b/>
        <sz val="8"/>
        <color indexed="8"/>
        <rFont val="华文细黑"/>
        <family val="3"/>
        <charset val="134"/>
      </rPr>
      <t>广东</t>
    </r>
  </si>
  <si>
    <r>
      <rPr>
        <b/>
        <sz val="8"/>
        <color indexed="8"/>
        <rFont val="华文细黑"/>
        <family val="3"/>
        <charset val="134"/>
      </rPr>
      <t>全国</t>
    </r>
  </si>
  <si>
    <t>生猪（外三元）</t>
  </si>
  <si>
    <t>辽宁</t>
  </si>
  <si>
    <r>
      <rPr>
        <b/>
        <sz val="8"/>
        <color indexed="8"/>
        <rFont val="华文细黑"/>
        <family val="3"/>
        <charset val="134"/>
      </rPr>
      <t>湖南</t>
    </r>
  </si>
  <si>
    <r>
      <rPr>
        <b/>
        <sz val="8"/>
        <color indexed="8"/>
        <rFont val="华文细黑"/>
        <family val="3"/>
        <charset val="134"/>
      </rPr>
      <t>玉米</t>
    </r>
  </si>
  <si>
    <t>农业部</t>
  </si>
  <si>
    <r>
      <rPr>
        <b/>
        <sz val="8"/>
        <color indexed="8"/>
        <rFont val="华文细黑"/>
        <family val="3"/>
        <charset val="134"/>
      </rPr>
      <t>元/吨</t>
    </r>
  </si>
  <si>
    <r>
      <rPr>
        <b/>
        <sz val="8"/>
        <color indexed="8"/>
        <rFont val="华文细黑"/>
        <family val="3"/>
        <charset val="134"/>
      </rPr>
      <t>猪肉</t>
    </r>
  </si>
  <si>
    <t>20周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</si>
</sst>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);[Red]\(0.00\)"/>
    <numFmt numFmtId="177" formatCode="0.00_ "/>
    <numFmt numFmtId="178" formatCode="0_ "/>
  </numFmts>
  <fonts count="17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b/>
      <sz val="8"/>
      <color theme="1"/>
      <name val="华文细黑"/>
      <family val="3"/>
      <charset val="134"/>
    </font>
    <font>
      <sz val="9"/>
      <name val="宋体"/>
      <family val="3"/>
      <charset val="134"/>
      <scheme val="minor"/>
    </font>
    <font>
      <b/>
      <sz val="8"/>
      <color indexed="8"/>
      <name val="华文细黑"/>
      <family val="3"/>
      <charset val="134"/>
    </font>
    <font>
      <b/>
      <sz val="8"/>
      <color rgb="FF000000"/>
      <name val="华文细黑"/>
      <family val="3"/>
      <charset val="134"/>
    </font>
    <font>
      <b/>
      <sz val="8"/>
      <color theme="1"/>
      <name val="Arial Unicode MS"/>
      <family val="2"/>
    </font>
    <font>
      <b/>
      <sz val="8"/>
      <color indexed="8"/>
      <name val="Arial Unicode MS"/>
      <family val="2"/>
    </font>
    <font>
      <b/>
      <sz val="8"/>
      <color theme="1"/>
      <name val="Arial"/>
      <family val="2"/>
    </font>
    <font>
      <b/>
      <sz val="8"/>
      <color rgb="FF000000"/>
      <name val="Arial"/>
      <family val="2"/>
    </font>
    <font>
      <b/>
      <sz val="10"/>
      <color theme="1"/>
      <name val="华文细黑"/>
      <family val="3"/>
      <charset val="134"/>
    </font>
    <font>
      <b/>
      <sz val="10"/>
      <color indexed="8"/>
      <name val="华文细黑"/>
      <family val="3"/>
      <charset val="134"/>
    </font>
    <font>
      <b/>
      <sz val="8"/>
      <name val="华文细黑"/>
      <family val="3"/>
      <charset val="134"/>
    </font>
    <font>
      <b/>
      <sz val="8"/>
      <name val="Arial"/>
      <family val="2"/>
    </font>
    <font>
      <sz val="12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38181"/>
        <bgColor indexed="64"/>
      </patternFill>
    </fill>
    <fill>
      <patternFill patternType="solid">
        <fgColor theme="5" tint="0.79989013336588644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2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2" borderId="1" xfId="2" applyFont="1" applyFill="1" applyBorder="1" applyAlignment="1">
      <alignment horizontal="center" vertical="center" wrapText="1"/>
    </xf>
    <xf numFmtId="0" fontId="4" fillId="2" borderId="1" xfId="2" applyFont="1" applyFill="1" applyBorder="1" applyAlignment="1">
      <alignment horizontal="center" vertical="top" wrapText="1"/>
    </xf>
    <xf numFmtId="58" fontId="7" fillId="2" borderId="1" xfId="0" applyNumberFormat="1" applyFont="1" applyFill="1" applyBorder="1" applyAlignment="1">
      <alignment horizontal="center" vertical="center" wrapText="1"/>
    </xf>
    <xf numFmtId="0" fontId="6" fillId="2" borderId="1" xfId="2" applyFont="1" applyFill="1" applyBorder="1" applyAlignment="1">
      <alignment horizontal="center" vertical="center" wrapText="1"/>
    </xf>
    <xf numFmtId="49" fontId="6" fillId="2" borderId="1" xfId="2" applyNumberFormat="1" applyFont="1" applyFill="1" applyBorder="1" applyAlignment="1">
      <alignment horizontal="center" vertical="center" wrapText="1"/>
    </xf>
    <xf numFmtId="0" fontId="8" fillId="3" borderId="1" xfId="2" applyFont="1" applyFill="1" applyBorder="1" applyAlignment="1">
      <alignment horizontal="center" vertical="top" wrapText="1"/>
    </xf>
    <xf numFmtId="176" fontId="9" fillId="3" borderId="1" xfId="2" applyNumberFormat="1" applyFont="1" applyFill="1" applyBorder="1" applyAlignment="1">
      <alignment horizontal="center" vertical="center" wrapText="1"/>
    </xf>
    <xf numFmtId="2" fontId="10" fillId="3" borderId="1" xfId="2" applyNumberFormat="1" applyFont="1" applyFill="1" applyBorder="1" applyAlignment="1">
      <alignment horizontal="center" vertical="center" wrapText="1"/>
    </xf>
    <xf numFmtId="10" fontId="10" fillId="3" borderId="1" xfId="2" applyNumberFormat="1" applyFont="1" applyFill="1" applyBorder="1" applyAlignment="1">
      <alignment horizontal="center" vertical="center" wrapText="1"/>
    </xf>
    <xf numFmtId="176" fontId="11" fillId="3" borderId="1" xfId="2" applyNumberFormat="1" applyFont="1" applyFill="1" applyBorder="1" applyAlignment="1">
      <alignment horizontal="center" vertical="center" wrapText="1"/>
    </xf>
    <xf numFmtId="58" fontId="4" fillId="2" borderId="1" xfId="0" applyNumberFormat="1" applyFont="1" applyFill="1" applyBorder="1" applyAlignment="1">
      <alignment horizontal="center" vertical="center" wrapText="1"/>
    </xf>
    <xf numFmtId="0" fontId="6" fillId="2" borderId="1" xfId="2" applyFont="1" applyFill="1" applyBorder="1" applyAlignment="1">
      <alignment horizontal="center" vertical="top" wrapText="1"/>
    </xf>
    <xf numFmtId="0" fontId="4" fillId="3" borderId="1" xfId="2" applyFont="1" applyFill="1" applyBorder="1" applyAlignment="1">
      <alignment horizontal="center" vertical="top" wrapText="1"/>
    </xf>
    <xf numFmtId="10" fontId="10" fillId="3" borderId="1" xfId="1" applyNumberFormat="1" applyFont="1" applyFill="1" applyBorder="1" applyAlignment="1">
      <alignment horizontal="center" vertical="center" wrapText="1"/>
    </xf>
    <xf numFmtId="176" fontId="4" fillId="4" borderId="1" xfId="2" applyNumberFormat="1" applyFont="1" applyFill="1" applyBorder="1" applyAlignment="1">
      <alignment horizontal="center" vertical="center" wrapText="1"/>
    </xf>
    <xf numFmtId="176" fontId="14" fillId="4" borderId="1" xfId="2" applyNumberFormat="1" applyFont="1" applyFill="1" applyBorder="1" applyAlignment="1">
      <alignment horizontal="center" vertical="center" wrapText="1"/>
    </xf>
    <xf numFmtId="177" fontId="15" fillId="4" borderId="1" xfId="3" applyNumberFormat="1" applyFont="1" applyFill="1" applyBorder="1" applyAlignment="1">
      <alignment horizontal="center" vertical="center" wrapText="1"/>
    </xf>
    <xf numFmtId="10" fontId="10" fillId="4" borderId="1" xfId="1" applyNumberFormat="1" applyFont="1" applyFill="1" applyBorder="1" applyAlignment="1">
      <alignment horizontal="center" vertical="center" wrapText="1"/>
    </xf>
    <xf numFmtId="10" fontId="10" fillId="4" borderId="1" xfId="2" applyNumberFormat="1" applyFont="1" applyFill="1" applyBorder="1" applyAlignment="1">
      <alignment horizontal="center" vertical="center" wrapText="1"/>
    </xf>
    <xf numFmtId="176" fontId="7" fillId="3" borderId="1" xfId="2" applyNumberFormat="1" applyFont="1" applyFill="1" applyBorder="1" applyAlignment="1">
      <alignment horizontal="center" vertical="center" wrapText="1"/>
    </xf>
    <xf numFmtId="178" fontId="11" fillId="4" borderId="1" xfId="4" applyNumberFormat="1" applyFont="1" applyFill="1" applyBorder="1" applyAlignment="1">
      <alignment horizontal="center" vertical="center" wrapText="1"/>
    </xf>
    <xf numFmtId="0" fontId="4" fillId="4" borderId="1" xfId="2" applyFont="1" applyFill="1" applyBorder="1" applyAlignment="1">
      <alignment horizontal="center" vertical="center" wrapText="1"/>
    </xf>
    <xf numFmtId="0" fontId="4" fillId="4" borderId="1" xfId="2" applyFont="1" applyFill="1" applyBorder="1" applyAlignment="1">
      <alignment horizontal="center" vertical="top" wrapText="1"/>
    </xf>
    <xf numFmtId="0" fontId="4" fillId="2" borderId="1" xfId="2" applyFont="1" applyFill="1" applyBorder="1" applyAlignment="1">
      <alignment horizontal="center" vertical="top" wrapText="1"/>
    </xf>
    <xf numFmtId="0" fontId="12" fillId="2" borderId="1" xfId="2" applyFont="1" applyFill="1" applyBorder="1" applyAlignment="1">
      <alignment horizontal="center" vertical="center" textRotation="255" wrapText="1"/>
    </xf>
    <xf numFmtId="0" fontId="4" fillId="2" borderId="1" xfId="2" applyFont="1" applyFill="1" applyBorder="1" applyAlignment="1">
      <alignment horizontal="center" vertical="center" wrapText="1"/>
    </xf>
  </cellXfs>
  <cellStyles count="5">
    <cellStyle name="百分比" xfId="1" builtinId="5"/>
    <cellStyle name="常规" xfId="0" builtinId="0"/>
    <cellStyle name="常规 2" xfId="2" xr:uid="{BFFA2252-5BCB-4E30-9BDE-10681E20C719}"/>
    <cellStyle name="常规 2 2" xfId="4" xr:uid="{9E15FBBF-ED47-4DAE-BE14-536D971395C9}"/>
    <cellStyle name="常规 6" xfId="3" xr:uid="{4B51CE79-78DA-4844-BD8C-F7E4FEE78F4C}"/>
  </cellStyles>
  <dxfs count="15">
    <dxf>
      <font>
        <color rgb="FF00B050"/>
      </font>
    </dxf>
    <dxf>
      <font>
        <color rgb="FFFF0000"/>
      </font>
    </dxf>
    <dxf>
      <font>
        <color auto="1"/>
      </font>
    </dxf>
    <dxf>
      <font>
        <color rgb="FF00B050"/>
      </font>
    </dxf>
    <dxf>
      <font>
        <color rgb="FFFF0000"/>
      </font>
    </dxf>
    <dxf>
      <font>
        <color auto="1"/>
      </font>
    </dxf>
    <dxf>
      <font>
        <color rgb="FF00B050"/>
      </font>
    </dxf>
    <dxf>
      <font>
        <color rgb="FFFF0000"/>
      </font>
    </dxf>
    <dxf>
      <font>
        <color auto="1"/>
      </font>
    </dxf>
    <dxf>
      <font>
        <color rgb="FF00B050"/>
      </font>
    </dxf>
    <dxf>
      <font>
        <color rgb="FFFF0000"/>
      </font>
    </dxf>
    <dxf>
      <font>
        <color auto="1"/>
      </font>
    </dxf>
    <dxf>
      <font>
        <color rgb="FF00B050"/>
      </font>
    </dxf>
    <dxf>
      <font>
        <color rgb="FFFF0000"/>
      </font>
    </dxf>
    <dxf>
      <font>
        <color auto="1"/>
      </font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171450</xdr:rowOff>
    </xdr:from>
    <xdr:to>
      <xdr:col>7</xdr:col>
      <xdr:colOff>289528</xdr:colOff>
      <xdr:row>5</xdr:row>
      <xdr:rowOff>183466</xdr:rowOff>
    </xdr:to>
    <xdr:sp macro="" textlink="">
      <xdr:nvSpPr>
        <xdr:cNvPr id="2" name="流程图: 手动输入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3024831" y="-1996131"/>
          <a:ext cx="964516" cy="5299678"/>
        </a:xfrm>
        <a:prstGeom prst="flowChartManualInput">
          <a:avLst/>
        </a:prstGeom>
        <a:solidFill>
          <a:srgbClr val="0070C0"/>
        </a:solidFill>
        <a:ln w="25400" cap="flat" cmpd="sng" algn="ctr">
          <a:noFill/>
          <a:prstDash val="solid"/>
        </a:ln>
        <a:effectLst/>
      </xdr:spPr>
      <xdr:txBody>
        <a:bodyPr vert="vert270" wrap="square" rtlCol="0" anchor="ctr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2800" b="1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华文细黑" panose="02010600040101010101" pitchFamily="2" charset="-122"/>
              <a:ea typeface="华文细黑" panose="02010600040101010101" pitchFamily="2" charset="-122"/>
              <a:cs typeface="+mn-cs"/>
            </a:rPr>
            <a:t>生猪价格行情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26</xdr:row>
          <xdr:rowOff>63500</xdr:rowOff>
        </xdr:from>
        <xdr:to>
          <xdr:col>4</xdr:col>
          <xdr:colOff>647700</xdr:colOff>
          <xdr:row>29</xdr:row>
          <xdr:rowOff>50800</xdr:rowOff>
        </xdr:to>
        <xdr:sp macro="" textlink="">
          <xdr:nvSpPr>
            <xdr:cNvPr id="1025" name="Button 1" descr="更新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7:Q25"/>
  <sheetViews>
    <sheetView tabSelected="1" zoomScale="80" zoomScaleNormal="80" workbookViewId="0">
      <selection activeCell="I2" sqref="I2"/>
    </sheetView>
  </sheetViews>
  <sheetFormatPr defaultColWidth="11" defaultRowHeight="15"/>
  <sheetData>
    <row r="7" spans="2:17">
      <c r="B7" s="26"/>
      <c r="C7" s="26"/>
      <c r="D7" s="3" t="s">
        <v>14</v>
      </c>
      <c r="E7" s="4" t="s">
        <v>15</v>
      </c>
      <c r="F7" s="4" t="s">
        <v>16</v>
      </c>
      <c r="G7" s="5" t="s">
        <v>53</v>
      </c>
      <c r="H7" s="5" t="s">
        <v>17</v>
      </c>
      <c r="I7" s="5" t="s">
        <v>18</v>
      </c>
      <c r="J7" s="5" t="s">
        <v>19</v>
      </c>
      <c r="K7" s="5" t="s">
        <v>20</v>
      </c>
      <c r="L7" s="6" t="s">
        <v>21</v>
      </c>
      <c r="M7" s="6" t="s">
        <v>22</v>
      </c>
      <c r="N7" s="7" t="s">
        <v>23</v>
      </c>
      <c r="O7" s="7" t="s">
        <v>24</v>
      </c>
      <c r="P7" s="7" t="s">
        <v>25</v>
      </c>
      <c r="Q7" s="7" t="s">
        <v>26</v>
      </c>
    </row>
    <row r="8" spans="2:17">
      <c r="B8" s="26" t="s">
        <v>27</v>
      </c>
      <c r="C8" s="26"/>
      <c r="D8" s="3" t="s">
        <v>28</v>
      </c>
      <c r="E8" s="8" t="s">
        <v>29</v>
      </c>
      <c r="F8" s="9" t="s">
        <v>30</v>
      </c>
      <c r="G8" s="10">
        <v>71.08</v>
      </c>
      <c r="H8" s="10">
        <v>69.98</v>
      </c>
      <c r="I8" s="10">
        <v>70.040000000000006</v>
      </c>
      <c r="J8" s="10">
        <v>70.180000000000007</v>
      </c>
      <c r="K8" s="10">
        <v>70.41</v>
      </c>
      <c r="L8" s="11">
        <f>K8/J8-1</f>
        <v>3.2772869763464385E-3</v>
      </c>
      <c r="M8" s="11">
        <f>K8/G8-1</f>
        <v>-9.4259988745075685E-3</v>
      </c>
      <c r="N8" s="11">
        <f>$K8/P8-1</f>
        <v>5.2826956025127103E-3</v>
      </c>
      <c r="O8" s="11">
        <f>$K8/Q8-1</f>
        <v>0.11975190839694649</v>
      </c>
      <c r="P8" s="12">
        <v>70.040000000000006</v>
      </c>
      <c r="Q8" s="12">
        <v>62.88</v>
      </c>
    </row>
    <row r="9" spans="2:17">
      <c r="B9" s="27" t="s">
        <v>31</v>
      </c>
      <c r="C9" s="4"/>
      <c r="D9" s="4" t="s">
        <v>14</v>
      </c>
      <c r="E9" s="4" t="s">
        <v>15</v>
      </c>
      <c r="F9" s="4" t="s">
        <v>32</v>
      </c>
      <c r="G9" s="13">
        <v>43996</v>
      </c>
      <c r="H9" s="13">
        <v>43997</v>
      </c>
      <c r="I9" s="13">
        <v>43998</v>
      </c>
      <c r="J9" s="13">
        <v>43999</v>
      </c>
      <c r="K9" s="13">
        <v>44000</v>
      </c>
      <c r="L9" s="14" t="s">
        <v>33</v>
      </c>
      <c r="M9" s="14" t="s">
        <v>34</v>
      </c>
      <c r="N9" s="14" t="s">
        <v>23</v>
      </c>
      <c r="O9" s="14" t="s">
        <v>24</v>
      </c>
      <c r="P9" s="7" t="s">
        <v>25</v>
      </c>
      <c r="Q9" s="7" t="s">
        <v>26</v>
      </c>
    </row>
    <row r="10" spans="2:17">
      <c r="B10" s="27"/>
      <c r="C10" s="4" t="s">
        <v>35</v>
      </c>
      <c r="D10" s="3" t="s">
        <v>36</v>
      </c>
      <c r="E10" s="15" t="s">
        <v>29</v>
      </c>
      <c r="F10" s="15"/>
      <c r="G10" s="12">
        <f>G23/G24*1000</f>
        <v>15.13282405398477</v>
      </c>
      <c r="H10" s="12">
        <f>H23/H24*1000</f>
        <v>15.392837714944465</v>
      </c>
      <c r="I10" s="12">
        <f>I23/I24*1000</f>
        <v>15.498805528166663</v>
      </c>
      <c r="J10" s="12">
        <f>J23/J24*1000</f>
        <v>15.900532065933351</v>
      </c>
      <c r="K10" s="12">
        <f>K23/K24*1000</f>
        <v>16.13560931557608</v>
      </c>
      <c r="L10" s="16">
        <f t="shared" ref="L10:L23" si="0">K10/J10-1</f>
        <v>1.4784237953041623E-2</v>
      </c>
      <c r="M10" s="11">
        <f t="shared" ref="M10:M23" si="1">K10/G10-1</f>
        <v>6.6265573300395175E-2</v>
      </c>
      <c r="N10" s="11">
        <f>$K10/P10-1</f>
        <v>0.1608222956042249</v>
      </c>
      <c r="O10" s="11">
        <f>$K10/Q10-1</f>
        <v>-8.186585635400867E-2</v>
      </c>
      <c r="P10" s="12">
        <f>P23/P24*1000</f>
        <v>13.900154551371068</v>
      </c>
      <c r="Q10" s="12">
        <f>Q23/Q24*1000</f>
        <v>17.574348396956633</v>
      </c>
    </row>
    <row r="11" spans="2:17">
      <c r="B11" s="27"/>
      <c r="C11" s="28" t="s">
        <v>37</v>
      </c>
      <c r="D11" s="28" t="s">
        <v>36</v>
      </c>
      <c r="E11" s="17" t="s">
        <v>38</v>
      </c>
      <c r="F11" s="18" t="s">
        <v>39</v>
      </c>
      <c r="G11" s="19">
        <v>96.954999999999998</v>
      </c>
      <c r="H11" s="19">
        <v>96.954999999999998</v>
      </c>
      <c r="I11" s="19">
        <v>97.155000000000001</v>
      </c>
      <c r="J11" s="19">
        <v>97.155000000000001</v>
      </c>
      <c r="K11" s="19">
        <v>97.875</v>
      </c>
      <c r="L11" s="20">
        <f t="shared" si="0"/>
        <v>7.4108383510884668E-3</v>
      </c>
      <c r="M11" s="21">
        <f t="shared" si="1"/>
        <v>9.4889381671909856E-3</v>
      </c>
      <c r="N11" s="11">
        <f t="shared" ref="N11:O25" si="2">$K11/P11-1</f>
        <v>1.288419745420688E-2</v>
      </c>
      <c r="O11" s="11">
        <f t="shared" si="2"/>
        <v>0.33027522935779818</v>
      </c>
      <c r="P11" s="19">
        <v>96.63</v>
      </c>
      <c r="Q11" s="19">
        <v>73.575000000000003</v>
      </c>
    </row>
    <row r="12" spans="2:17">
      <c r="B12" s="27"/>
      <c r="C12" s="28"/>
      <c r="D12" s="28"/>
      <c r="E12" s="17" t="s">
        <v>40</v>
      </c>
      <c r="F12" s="18" t="s">
        <v>39</v>
      </c>
      <c r="G12" s="19">
        <v>89.34</v>
      </c>
      <c r="H12" s="19">
        <v>89.740000000000009</v>
      </c>
      <c r="I12" s="19">
        <v>89.740000000000009</v>
      </c>
      <c r="J12" s="19">
        <v>90.004999999999995</v>
      </c>
      <c r="K12" s="19">
        <v>91.015000000000001</v>
      </c>
      <c r="L12" s="20">
        <f t="shared" si="0"/>
        <v>1.122159880006679E-2</v>
      </c>
      <c r="M12" s="21">
        <f t="shared" si="1"/>
        <v>1.8748600850682751E-2</v>
      </c>
      <c r="N12" s="11">
        <f t="shared" si="2"/>
        <v>2.229585532966416E-2</v>
      </c>
      <c r="O12" s="11">
        <f t="shared" si="2"/>
        <v>0.30552965645843777</v>
      </c>
      <c r="P12" s="19">
        <v>89.03</v>
      </c>
      <c r="Q12" s="19">
        <v>69.715000000000003</v>
      </c>
    </row>
    <row r="13" spans="2:17">
      <c r="B13" s="27"/>
      <c r="C13" s="28"/>
      <c r="D13" s="28"/>
      <c r="E13" s="17" t="s">
        <v>41</v>
      </c>
      <c r="F13" s="18" t="s">
        <v>39</v>
      </c>
      <c r="G13" s="19">
        <v>88.759999999999991</v>
      </c>
      <c r="H13" s="19">
        <v>88.759999999999991</v>
      </c>
      <c r="I13" s="19">
        <v>88.91</v>
      </c>
      <c r="J13" s="19">
        <v>88.884999999999991</v>
      </c>
      <c r="K13" s="19">
        <v>89.885000000000005</v>
      </c>
      <c r="L13" s="20">
        <f t="shared" si="0"/>
        <v>1.1250492209034402E-2</v>
      </c>
      <c r="M13" s="21">
        <f t="shared" si="1"/>
        <v>1.2674628210906036E-2</v>
      </c>
      <c r="N13" s="11">
        <f t="shared" si="2"/>
        <v>2.2001137009664662E-2</v>
      </c>
      <c r="O13" s="11">
        <f t="shared" si="2"/>
        <v>0.26367214958526652</v>
      </c>
      <c r="P13" s="19">
        <v>87.95</v>
      </c>
      <c r="Q13" s="19">
        <v>71.13</v>
      </c>
    </row>
    <row r="14" spans="2:17">
      <c r="B14" s="27"/>
      <c r="C14" s="28"/>
      <c r="D14" s="28"/>
      <c r="E14" s="17" t="s">
        <v>42</v>
      </c>
      <c r="F14" s="18" t="s">
        <v>39</v>
      </c>
      <c r="G14" s="19">
        <v>97.234999999999999</v>
      </c>
      <c r="H14" s="19">
        <v>97.405000000000001</v>
      </c>
      <c r="I14" s="19">
        <v>97.555000000000007</v>
      </c>
      <c r="J14" s="19">
        <v>97.710000000000008</v>
      </c>
      <c r="K14" s="19">
        <v>98.504999999999995</v>
      </c>
      <c r="L14" s="20">
        <f t="shared" si="0"/>
        <v>8.1363217684984335E-3</v>
      </c>
      <c r="M14" s="21">
        <f t="shared" si="1"/>
        <v>1.3061140535815197E-2</v>
      </c>
      <c r="N14" s="11">
        <f t="shared" si="2"/>
        <v>2.1889102131853244E-2</v>
      </c>
      <c r="O14" s="11">
        <f t="shared" si="2"/>
        <v>0.34047764849969386</v>
      </c>
      <c r="P14" s="19">
        <v>96.39500000000001</v>
      </c>
      <c r="Q14" s="19">
        <v>73.484999999999999</v>
      </c>
    </row>
    <row r="15" spans="2:17">
      <c r="B15" s="27"/>
      <c r="C15" s="28"/>
      <c r="D15" s="28"/>
      <c r="E15" s="17" t="s">
        <v>43</v>
      </c>
      <c r="F15" s="18" t="s">
        <v>39</v>
      </c>
      <c r="G15" s="19">
        <v>100.685</v>
      </c>
      <c r="H15" s="19">
        <v>100.685</v>
      </c>
      <c r="I15" s="19">
        <v>100.88</v>
      </c>
      <c r="J15" s="19">
        <v>101.075</v>
      </c>
      <c r="K15" s="19">
        <v>101.75999999999999</v>
      </c>
      <c r="L15" s="20">
        <f t="shared" si="0"/>
        <v>6.7771456838978672E-3</v>
      </c>
      <c r="M15" s="21">
        <f t="shared" si="1"/>
        <v>1.0676863485126864E-2</v>
      </c>
      <c r="N15" s="11">
        <f t="shared" si="2"/>
        <v>2.0661985957873608E-2</v>
      </c>
      <c r="O15" s="11">
        <f t="shared" si="2"/>
        <v>0.3332459875532261</v>
      </c>
      <c r="P15" s="19">
        <v>99.7</v>
      </c>
      <c r="Q15" s="19">
        <v>76.325000000000003</v>
      </c>
    </row>
    <row r="16" spans="2:17">
      <c r="B16" s="27"/>
      <c r="C16" s="28"/>
      <c r="D16" s="28"/>
      <c r="E16" s="17" t="s">
        <v>44</v>
      </c>
      <c r="F16" s="18" t="s">
        <v>39</v>
      </c>
      <c r="G16" s="19">
        <v>110.39500000000001</v>
      </c>
      <c r="H16" s="19">
        <v>110.66</v>
      </c>
      <c r="I16" s="19">
        <v>110.85499999999999</v>
      </c>
      <c r="J16" s="19">
        <v>110.85499999999999</v>
      </c>
      <c r="K16" s="19">
        <v>111.61500000000001</v>
      </c>
      <c r="L16" s="20">
        <f t="shared" si="0"/>
        <v>6.8558026250509219E-3</v>
      </c>
      <c r="M16" s="21">
        <f t="shared" si="1"/>
        <v>1.1051225146066379E-2</v>
      </c>
      <c r="N16" s="11">
        <f t="shared" si="2"/>
        <v>1.5466496838466348E-2</v>
      </c>
      <c r="O16" s="11">
        <f t="shared" si="2"/>
        <v>4.1427571728481549E-2</v>
      </c>
      <c r="P16" s="19">
        <v>109.91499999999999</v>
      </c>
      <c r="Q16" s="19">
        <v>107.175</v>
      </c>
    </row>
    <row r="17" spans="2:17">
      <c r="B17" s="27"/>
      <c r="C17" s="28"/>
      <c r="D17" s="28"/>
      <c r="E17" s="15" t="s">
        <v>45</v>
      </c>
      <c r="F17" s="15" t="s">
        <v>39</v>
      </c>
      <c r="G17" s="12">
        <v>97.228333333333339</v>
      </c>
      <c r="H17" s="12">
        <v>97.367500000000007</v>
      </c>
      <c r="I17" s="12">
        <v>97.515833333333333</v>
      </c>
      <c r="J17" s="12">
        <v>97.614166666666662</v>
      </c>
      <c r="K17" s="12">
        <v>98.442499999999995</v>
      </c>
      <c r="L17" s="11">
        <f t="shared" si="0"/>
        <v>8.4857901431656391E-3</v>
      </c>
      <c r="M17" s="11">
        <f t="shared" si="1"/>
        <v>1.2487786481992558E-2</v>
      </c>
      <c r="N17" s="11">
        <f t="shared" si="2"/>
        <v>1.9038335461164069E-2</v>
      </c>
      <c r="O17" s="11">
        <f t="shared" si="2"/>
        <v>0.25296719381423594</v>
      </c>
      <c r="P17" s="12">
        <v>96.603333333333339</v>
      </c>
      <c r="Q17" s="12">
        <v>78.56750000000001</v>
      </c>
    </row>
    <row r="18" spans="2:17">
      <c r="B18" s="27"/>
      <c r="C18" s="28" t="s">
        <v>46</v>
      </c>
      <c r="D18" s="28" t="s">
        <v>36</v>
      </c>
      <c r="E18" s="17" t="s">
        <v>47</v>
      </c>
      <c r="F18" s="17" t="s">
        <v>39</v>
      </c>
      <c r="G18" s="19">
        <v>31</v>
      </c>
      <c r="H18" s="19">
        <v>31.3</v>
      </c>
      <c r="I18" s="19">
        <v>31.9</v>
      </c>
      <c r="J18" s="19">
        <v>32.450000000000003</v>
      </c>
      <c r="K18" s="19">
        <v>32.85</v>
      </c>
      <c r="L18" s="20">
        <f t="shared" si="0"/>
        <v>1.2326656394452851E-2</v>
      </c>
      <c r="M18" s="21">
        <f t="shared" si="1"/>
        <v>5.9677419354838834E-2</v>
      </c>
      <c r="N18" s="11">
        <f t="shared" si="2"/>
        <v>0.16737739872068236</v>
      </c>
      <c r="O18" s="11">
        <f t="shared" si="2"/>
        <v>4.2857142857142927E-2</v>
      </c>
      <c r="P18" s="19">
        <v>28.14</v>
      </c>
      <c r="Q18" s="19">
        <v>31.5</v>
      </c>
    </row>
    <row r="19" spans="2:17">
      <c r="B19" s="27"/>
      <c r="C19" s="28"/>
      <c r="D19" s="28"/>
      <c r="E19" s="17" t="s">
        <v>41</v>
      </c>
      <c r="F19" s="17" t="s">
        <v>39</v>
      </c>
      <c r="G19" s="19">
        <v>31.9</v>
      </c>
      <c r="H19" s="19">
        <v>32.349999999999994</v>
      </c>
      <c r="I19" s="19">
        <v>32.659999999999997</v>
      </c>
      <c r="J19" s="19">
        <v>33.480000000000004</v>
      </c>
      <c r="K19" s="19">
        <v>33.935000000000002</v>
      </c>
      <c r="L19" s="20">
        <f t="shared" si="0"/>
        <v>1.3590203106332188E-2</v>
      </c>
      <c r="M19" s="21">
        <f t="shared" si="1"/>
        <v>6.3793103448275934E-2</v>
      </c>
      <c r="N19" s="11">
        <f t="shared" si="2"/>
        <v>0.17219343696027645</v>
      </c>
      <c r="O19" s="11">
        <f t="shared" si="2"/>
        <v>1.7541229385307666E-2</v>
      </c>
      <c r="P19" s="19">
        <v>28.95</v>
      </c>
      <c r="Q19" s="19">
        <v>33.349999999999994</v>
      </c>
    </row>
    <row r="20" spans="2:17">
      <c r="B20" s="27"/>
      <c r="C20" s="28"/>
      <c r="D20" s="28"/>
      <c r="E20" s="17" t="s">
        <v>43</v>
      </c>
      <c r="F20" s="17" t="s">
        <v>39</v>
      </c>
      <c r="G20" s="19">
        <v>33.269999999999996</v>
      </c>
      <c r="H20" s="19">
        <v>33.754999999999995</v>
      </c>
      <c r="I20" s="19">
        <v>34.120000000000005</v>
      </c>
      <c r="J20" s="19">
        <v>34.85</v>
      </c>
      <c r="K20" s="19">
        <v>35.260000000000005</v>
      </c>
      <c r="L20" s="20">
        <f t="shared" si="0"/>
        <v>1.1764705882353121E-2</v>
      </c>
      <c r="M20" s="21">
        <f t="shared" si="1"/>
        <v>5.9813645927262016E-2</v>
      </c>
      <c r="N20" s="11">
        <f t="shared" si="2"/>
        <v>0.15872494249096314</v>
      </c>
      <c r="O20" s="11">
        <f t="shared" si="2"/>
        <v>-4.4444444444444287E-2</v>
      </c>
      <c r="P20" s="19">
        <v>30.43</v>
      </c>
      <c r="Q20" s="19">
        <v>36.9</v>
      </c>
    </row>
    <row r="21" spans="2:17">
      <c r="B21" s="27"/>
      <c r="C21" s="28"/>
      <c r="D21" s="28"/>
      <c r="E21" s="17" t="s">
        <v>48</v>
      </c>
      <c r="F21" s="17" t="s">
        <v>39</v>
      </c>
      <c r="G21" s="19">
        <v>33.414999999999999</v>
      </c>
      <c r="H21" s="19">
        <v>33.879999999999995</v>
      </c>
      <c r="I21" s="19">
        <v>33.879999999999995</v>
      </c>
      <c r="J21" s="19">
        <v>34.340000000000003</v>
      </c>
      <c r="K21" s="19">
        <v>34.94</v>
      </c>
      <c r="L21" s="20">
        <f t="shared" si="0"/>
        <v>1.7472335468840861E-2</v>
      </c>
      <c r="M21" s="21">
        <f t="shared" si="1"/>
        <v>4.5638186443214046E-2</v>
      </c>
      <c r="N21" s="11">
        <f t="shared" si="2"/>
        <v>0.13829613943639019</v>
      </c>
      <c r="O21" s="11">
        <f t="shared" si="2"/>
        <v>-2.9444444444444495E-2</v>
      </c>
      <c r="P21" s="19">
        <v>30.695</v>
      </c>
      <c r="Q21" s="19">
        <v>36</v>
      </c>
    </row>
    <row r="22" spans="2:17">
      <c r="B22" s="27"/>
      <c r="C22" s="28"/>
      <c r="D22" s="28"/>
      <c r="E22" s="17" t="s">
        <v>44</v>
      </c>
      <c r="F22" s="17" t="s">
        <v>39</v>
      </c>
      <c r="G22" s="19">
        <v>34.620000000000005</v>
      </c>
      <c r="H22" s="19">
        <v>35.125</v>
      </c>
      <c r="I22" s="19">
        <v>35.18</v>
      </c>
      <c r="J22" s="19">
        <v>35.67</v>
      </c>
      <c r="K22" s="19">
        <v>36.33</v>
      </c>
      <c r="L22" s="20">
        <f t="shared" si="0"/>
        <v>1.8502943650126058E-2</v>
      </c>
      <c r="M22" s="21">
        <f t="shared" si="1"/>
        <v>4.939341421143828E-2</v>
      </c>
      <c r="N22" s="11">
        <f t="shared" si="2"/>
        <v>0.14569536423841045</v>
      </c>
      <c r="O22" s="11">
        <f t="shared" si="2"/>
        <v>-2.4697986577181252E-2</v>
      </c>
      <c r="P22" s="19">
        <v>31.71</v>
      </c>
      <c r="Q22" s="19">
        <v>37.25</v>
      </c>
    </row>
    <row r="23" spans="2:17">
      <c r="B23" s="27"/>
      <c r="C23" s="28"/>
      <c r="D23" s="28"/>
      <c r="E23" s="15" t="s">
        <v>45</v>
      </c>
      <c r="F23" s="22" t="s">
        <v>39</v>
      </c>
      <c r="G23" s="12">
        <v>32.108372093023263</v>
      </c>
      <c r="H23" s="12">
        <v>32.679302325581396</v>
      </c>
      <c r="I23" s="12">
        <v>32.936511627906974</v>
      </c>
      <c r="J23" s="12">
        <v>34.158000000000001</v>
      </c>
      <c r="K23" s="12">
        <v>34.662999999999997</v>
      </c>
      <c r="L23" s="16">
        <f t="shared" si="0"/>
        <v>1.4784237953041623E-2</v>
      </c>
      <c r="M23" s="11">
        <f t="shared" si="1"/>
        <v>7.9562672924542888E-2</v>
      </c>
      <c r="N23" s="11">
        <f t="shared" si="2"/>
        <v>0.18062924267507352</v>
      </c>
      <c r="O23" s="11">
        <f t="shared" si="2"/>
        <v>2.804359071628082E-2</v>
      </c>
      <c r="P23" s="12">
        <v>29.359767441860459</v>
      </c>
      <c r="Q23" s="12">
        <v>33.717441860465122</v>
      </c>
    </row>
    <row r="24" spans="2:17">
      <c r="B24" s="27"/>
      <c r="C24" s="4" t="s">
        <v>49</v>
      </c>
      <c r="D24" s="3" t="s">
        <v>36</v>
      </c>
      <c r="E24" s="17" t="s">
        <v>50</v>
      </c>
      <c r="F24" s="17" t="s">
        <v>51</v>
      </c>
      <c r="G24" s="23">
        <v>2121.77</v>
      </c>
      <c r="H24" s="23">
        <v>2123.02</v>
      </c>
      <c r="I24" s="23">
        <v>2125.1</v>
      </c>
      <c r="J24" s="23">
        <v>2148.23</v>
      </c>
      <c r="K24" s="23">
        <v>2148.23</v>
      </c>
      <c r="L24" s="20">
        <f>K24/J24-1</f>
        <v>0</v>
      </c>
      <c r="M24" s="21">
        <f>K24/G24-1</f>
        <v>1.2470720200587371E-2</v>
      </c>
      <c r="N24" s="11">
        <f t="shared" si="2"/>
        <v>1.7062858928410751E-2</v>
      </c>
      <c r="O24" s="11">
        <f t="shared" si="2"/>
        <v>0.11970957384705194</v>
      </c>
      <c r="P24" s="23">
        <v>2112.19</v>
      </c>
      <c r="Q24" s="23">
        <v>1918.56</v>
      </c>
    </row>
    <row r="25" spans="2:17">
      <c r="B25" s="27"/>
      <c r="C25" s="4" t="s">
        <v>52</v>
      </c>
      <c r="D25" s="3" t="s">
        <v>50</v>
      </c>
      <c r="E25" s="24" t="s">
        <v>29</v>
      </c>
      <c r="F25" s="25" t="s">
        <v>39</v>
      </c>
      <c r="G25" s="19">
        <v>40.6</v>
      </c>
      <c r="H25" s="19">
        <v>41.22</v>
      </c>
      <c r="I25" s="19">
        <v>41.69</v>
      </c>
      <c r="J25" s="19">
        <v>42.2</v>
      </c>
      <c r="K25" s="19">
        <v>42.72</v>
      </c>
      <c r="L25" s="20">
        <f>K25/J25-1</f>
        <v>1.2322274881516382E-2</v>
      </c>
      <c r="M25" s="21">
        <f>K25/G25-1</f>
        <v>5.221674876847282E-2</v>
      </c>
      <c r="N25" s="11">
        <f t="shared" si="2"/>
        <v>0.10216718266253877</v>
      </c>
      <c r="O25" s="11">
        <f t="shared" si="2"/>
        <v>-1.2254335260115656E-2</v>
      </c>
      <c r="P25" s="19">
        <v>38.76</v>
      </c>
      <c r="Q25" s="19">
        <v>43.25</v>
      </c>
    </row>
  </sheetData>
  <mergeCells count="7">
    <mergeCell ref="B7:C7"/>
    <mergeCell ref="B8:C8"/>
    <mergeCell ref="B9:B25"/>
    <mergeCell ref="C11:C17"/>
    <mergeCell ref="D11:D17"/>
    <mergeCell ref="C18:C23"/>
    <mergeCell ref="D18:D23"/>
  </mergeCells>
  <phoneticPr fontId="5" type="noConversion"/>
  <conditionalFormatting sqref="L25:M25">
    <cfRule type="cellIs" dxfId="14" priority="7" operator="equal">
      <formula>0</formula>
    </cfRule>
    <cfRule type="cellIs" dxfId="13" priority="8" operator="greaterThan">
      <formula>0</formula>
    </cfRule>
    <cfRule type="cellIs" dxfId="12" priority="9" operator="lessThan">
      <formula>0</formula>
    </cfRule>
  </conditionalFormatting>
  <conditionalFormatting sqref="L17">
    <cfRule type="cellIs" dxfId="11" priority="4" operator="equal">
      <formula>0</formula>
    </cfRule>
    <cfRule type="cellIs" dxfId="10" priority="5" operator="greaterThan">
      <formula>0</formula>
    </cfRule>
    <cfRule type="cellIs" dxfId="9" priority="6" operator="lessThan">
      <formula>0</formula>
    </cfRule>
  </conditionalFormatting>
  <conditionalFormatting sqref="L23">
    <cfRule type="cellIs" dxfId="8" priority="10" operator="equal">
      <formula>0</formula>
    </cfRule>
    <cfRule type="cellIs" dxfId="7" priority="11" operator="greaterThan">
      <formula>0</formula>
    </cfRule>
    <cfRule type="cellIs" dxfId="6" priority="12" operator="lessThan">
      <formula>0</formula>
    </cfRule>
  </conditionalFormatting>
  <conditionalFormatting sqref="L10:M16 L18:M22 M17 M23 L24:M24 L8:O8">
    <cfRule type="cellIs" dxfId="5" priority="13" operator="equal">
      <formula>0</formula>
    </cfRule>
    <cfRule type="cellIs" dxfId="4" priority="14" operator="greaterThan">
      <formula>0</formula>
    </cfRule>
    <cfRule type="cellIs" dxfId="3" priority="15" operator="lessThan">
      <formula>0</formula>
    </cfRule>
  </conditionalFormatting>
  <conditionalFormatting sqref="N10:O25">
    <cfRule type="cellIs" dxfId="2" priority="1" operator="equal">
      <formula>0</formula>
    </cfRule>
    <cfRule type="cellIs" dxfId="1" priority="2" operator="greaterThan">
      <formula>0</formula>
    </cfRule>
    <cfRule type="cellIs" dxfId="0" priority="3" operator="lessThan">
      <formula>0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mpleCall" altText="更新">
                <anchor moveWithCells="1" sizeWithCells="1">
                  <from>
                    <xdr:col>2</xdr:col>
                    <xdr:colOff>228600</xdr:colOff>
                    <xdr:row>26</xdr:row>
                    <xdr:rowOff>63500</xdr:rowOff>
                  </from>
                  <to>
                    <xdr:col>4</xdr:col>
                    <xdr:colOff>647700</xdr:colOff>
                    <xdr:row>29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3203125" defaultRowHeight="15"/>
  <cols>
    <col min="1" max="1" width="13.5" style="1" bestFit="1" customWidth="1"/>
    <col min="2" max="2" width="9.25" style="1" customWidth="1"/>
    <col min="3" max="16384" width="8.83203125" style="1"/>
  </cols>
  <sheetData>
    <row r="1" spans="1:2">
      <c r="A1" s="1" t="s">
        <v>0</v>
      </c>
      <c r="B1" s="1" t="s">
        <v>6</v>
      </c>
    </row>
    <row r="2" spans="1:2">
      <c r="A2" s="1" t="s">
        <v>1</v>
      </c>
    </row>
    <row r="3" spans="1:2">
      <c r="A3" s="1" t="s">
        <v>9</v>
      </c>
    </row>
    <row r="4" spans="1:2">
      <c r="A4" s="1" t="s">
        <v>10</v>
      </c>
    </row>
    <row r="5" spans="1:2">
      <c r="A5" s="1" t="s">
        <v>2</v>
      </c>
    </row>
    <row r="6" spans="1:2">
      <c r="A6" s="1" t="s">
        <v>3</v>
      </c>
      <c r="B6" s="1" t="b">
        <v>0</v>
      </c>
    </row>
    <row r="7" spans="1:2">
      <c r="A7" s="1" t="s">
        <v>4</v>
      </c>
    </row>
    <row r="8" spans="1:2">
      <c r="A8" s="1" t="s">
        <v>5</v>
      </c>
      <c r="B8" s="1" t="b">
        <v>0</v>
      </c>
    </row>
    <row r="13" spans="1:2">
      <c r="A13" s="2" t="s">
        <v>7</v>
      </c>
    </row>
    <row r="14" spans="1:2">
      <c r="A14" s="1" t="s">
        <v>11</v>
      </c>
    </row>
    <row r="15" spans="1:2">
      <c r="A15" s="1" t="s">
        <v>12</v>
      </c>
    </row>
    <row r="16" spans="1:2">
      <c r="A16" s="1" t="s">
        <v>8</v>
      </c>
    </row>
    <row r="17" spans="1:1">
      <c r="A17" s="1" t="s">
        <v>13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张倡铭</cp:lastModifiedBy>
  <dcterms:created xsi:type="dcterms:W3CDTF">2015-01-25T11:31:25Z</dcterms:created>
  <dcterms:modified xsi:type="dcterms:W3CDTF">2020-06-18T11:16:34Z</dcterms:modified>
</cp:coreProperties>
</file>